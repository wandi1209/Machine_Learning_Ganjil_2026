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e681ccacd944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Mahasiswa" sheetId="1" r:id="R0e258e7f55df4c1d"/>
    <x:sheet xmlns:r="http://schemas.openxmlformats.org/officeDocument/2006/relationships" name="Ringkasan" sheetId="2" r:id="Rd560705247c440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"/>
    <x:numFmt numFmtId="202" formatCode="0"/>
  </x:numFmts>
  <x:fonts count="11">
    <x:font>
      <x:sz val="11"/>
      <x:name val="Carlito"/>
    </x:font>
    <x:font>
      <x:b/>
      <x:sz val="14"/>
      <x:color rgb="FFFFFFFF"/>
      <x:name val="Carlito"/>
    </x:font>
    <x:font>
      <x:i/>
      <x:sz val="10"/>
      <x:color rgb="FF7F6000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i/>
      <x:sz val="11"/>
      <x:color rgb="FF1F2937"/>
      <x:name val="Carlito"/>
    </x:font>
    <x:font>
      <x:sz val="11"/>
      <x:color rgb="FF1F2937"/>
      <x:name val="Carlito"/>
    </x:font>
    <x:font>
      <x:b/>
      <x:sz val="16"/>
      <x:color rgb="FF1F4E78"/>
      <x:name val="Carlito"/>
    </x:font>
    <x:font>
      <x:i/>
      <x:sz val="10"/>
      <x:color rgb="FF6B7280"/>
      <x:name val="Carlito"/>
    </x:font>
    <x:font>
      <x:sz val="11"/>
      <x:color rgb="FF111827"/>
      <x:name val="Carlito"/>
    </x:font>
    <x:font>
      <x:b/>
      <x:sz val="15"/>
      <x:color rgb="FF1F4E7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FFFFFF"/>
      </x:patternFill>
    </x:fill>
    <x:fill>
      <x:patternFill patternType="solid">
        <x:fgColor rgb="FFF3F4F6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/>
    </x:xf>
    <x:xf numFmtId="20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horizontal="center" vertical="center"/>
    </x:xf>
    <x:xf numFmtId="200" fontId="0" fillId="0" borderId="9" xfId="0" applyNumberFormat="1" applyFont="1" applyFill="1" applyBorder="1" applyAlignment="1">
      <x:alignment horizontal="center" vertical="center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/>
    </x:xf>
    <x:xf numFmtId="20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horizontal="center" vertical="center"/>
    </x:xf>
    <x:xf numFmtId="200" fontId="0" fillId="0" borderId="17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1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9" xfId="0" applyNumberFormat="1" applyFont="1" applyFill="1" applyBorder="1"/>
    <x:xf numFmtId="0" fontId="3" fillId="4" borderId="10" xfId="0" applyNumberFormat="1" applyFont="1" applyFill="1" applyBorder="1" applyAlignment="1">
      <x:alignment horizontal="center"/>
    </x:xf>
    <x:xf numFmtId="0" fontId="3" fillId="4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1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17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8" xfId="0" applyNumberFormat="1" applyFont="1" applyFill="1" applyBorder="1" applyAlignment="1">
      <x:alignment horizontal="center"/>
    </x:xf>
    <x:xf numFmtId="0" fontId="3" fillId="5" borderId="19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3" fillId="6" borderId="4" xfId="0" applyNumberFormat="1" applyFont="1" applyFill="1" applyBorder="1" applyAlignment="1">
      <x:alignment horizontal="center" vertical="center" wrapText="1"/>
    </x:xf>
    <x:xf numFmtId="0" fontId="0" fillId="6" borderId="5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horizontal="center" vertical="center"/>
    </x:xf>
    <x:xf numFmtId="200" fontId="0" fillId="6" borderId="6" xfId="0" applyNumberFormat="1" applyFont="1" applyFill="1" applyBorder="1" applyAlignment="1">
      <x:alignment horizontal="center" vertical="center"/>
    </x:xf>
    <x:xf numFmtId="0" fontId="0" fillId="6" borderId="7" xfId="0" applyNumberFormat="1" applyFont="1" applyFill="1" applyBorder="1" applyAlignment="1">
      <x:alignment horizontal="center" vertical="center"/>
    </x:xf>
    <x:xf numFmtId="0" fontId="0" fillId="6" borderId="8" xfId="0" applyNumberFormat="1" applyFont="1" applyFill="1" applyBorder="1" applyAlignment="1">
      <x:alignment vertical="center"/>
    </x:xf>
    <x:xf numFmtId="0" fontId="0" fillId="6" borderId="8" xfId="0" applyNumberFormat="1" applyFont="1" applyFill="1" applyBorder="1" applyAlignment="1">
      <x:alignment horizontal="center" vertical="center"/>
    </x:xf>
    <x:xf numFmtId="200" fontId="0" fillId="6" borderId="9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200" fontId="0" fillId="6" borderId="0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horizontal="left" vertical="center" wrapText="1"/>
    </x:xf>
    <x:xf numFmtId="0" fontId="6" fillId="6" borderId="0" xfId="0" applyNumberFormat="1" applyFont="1" applyFill="1" applyBorder="1"/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4" fillId="6" borderId="4" xfId="0" applyNumberFormat="1" applyFont="1" applyFill="1" applyBorder="1" applyAlignment="1">
      <x:alignment horizontal="center" vertical="center" wrapText="1"/>
    </x:xf>
    <x:xf numFmtId="0" fontId="6" fillId="6" borderId="5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horizontal="center" vertical="center"/>
    </x:xf>
    <x:xf numFmtId="200" fontId="6" fillId="6" borderId="6" xfId="0" applyNumberFormat="1" applyFont="1" applyFill="1" applyBorder="1" applyAlignment="1">
      <x:alignment horizontal="center" vertical="center"/>
    </x:xf>
    <x:xf numFmtId="0" fontId="6" fillId="6" borderId="7" xfId="0" applyNumberFormat="1" applyFont="1" applyFill="1" applyBorder="1" applyAlignment="1">
      <x:alignment horizontal="center" vertical="center"/>
    </x:xf>
    <x:xf numFmtId="0" fontId="6" fillId="6" borderId="8" xfId="0" applyNumberFormat="1" applyFont="1" applyFill="1" applyBorder="1" applyAlignment="1">
      <x:alignment vertical="center"/>
    </x:xf>
    <x:xf numFmtId="0" fontId="6" fillId="6" borderId="8" xfId="0" applyNumberFormat="1" applyFont="1" applyFill="1" applyBorder="1" applyAlignment="1">
      <x:alignment horizontal="center" vertical="center"/>
    </x:xf>
    <x:xf numFmtId="200" fontId="6" fillId="6" borderId="9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horizontal="center" vertical="center" wrapText="1"/>
    </x:xf>
    <x:xf numFmtId="200" fontId="6" fillId="6" borderId="0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 applyAlignment="1">
      <x:alignment horizontal="left"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9" fillId="6" borderId="5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horizontal="center" vertical="center"/>
    </x:xf>
    <x:xf numFmtId="200" fontId="9" fillId="6" borderId="6" xfId="0" applyNumberFormat="1" applyFont="1" applyFill="1" applyBorder="1" applyAlignment="1">
      <x:alignment horizontal="center" vertical="center"/>
    </x:xf>
    <x:xf numFmtId="0" fontId="9" fillId="6" borderId="7" xfId="0" applyNumberFormat="1" applyFont="1" applyFill="1" applyBorder="1" applyAlignment="1">
      <x:alignment horizontal="center" vertical="center"/>
    </x:xf>
    <x:xf numFmtId="0" fontId="9" fillId="6" borderId="8" xfId="0" applyNumberFormat="1" applyFont="1" applyFill="1" applyBorder="1" applyAlignment="1">
      <x:alignment vertical="center"/>
    </x:xf>
    <x:xf numFmtId="0" fontId="9" fillId="6" borderId="8" xfId="0" applyNumberFormat="1" applyFont="1" applyFill="1" applyBorder="1" applyAlignment="1">
      <x:alignment horizontal="center" vertical="center"/>
    </x:xf>
    <x:xf numFmtId="200" fontId="9" fillId="6" borderId="9" xfId="0" applyNumberFormat="1" applyFont="1" applyFill="1" applyBorder="1" applyAlignment="1">
      <x:alignment horizontal="center" vertical="center"/>
    </x:xf>
    <x:xf numFmtId="200" fontId="9" fillId="6" borderId="0" xfId="0" applyNumberFormat="1" applyFont="1" applyFill="1" applyBorder="1" applyAlignment="1">
      <x:alignment horizontal="center" vertical="center"/>
    </x:xf>
    <x:xf numFmtId="202" fontId="9" fillId="6" borderId="0" xfId="0" applyNumberFormat="1" applyFont="1" applyFill="1" applyBorder="1" applyAlignment="1">
      <x:alignment horizontal="center" vertical="center"/>
    </x:xf>
    <x:xf numFmtId="202" fontId="9" fillId="6" borderId="8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horizontal="center"/>
    </x:xf>
    <x:xf numFmtId="0" fontId="3" fillId="6" borderId="2" xfId="0" applyNumberFormat="1" applyFont="1" applyFill="1" applyBorder="1" applyAlignment="1">
      <x:alignment horizontal="center"/>
    </x:xf>
    <x:xf numFmtId="0" fontId="3" fillId="6" borderId="4" xfId="0" applyNumberFormat="1" applyFont="1" applyFill="1" applyBorder="1" applyAlignment="1">
      <x:alignment horizontal="center"/>
    </x:xf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201" fontId="0" fillId="6" borderId="6" xfId="0" applyNumberFormat="1" applyFont="1" applyFill="1" applyBorder="1"/>
    <x:xf numFmtId="0" fontId="0" fillId="6" borderId="7" xfId="0" applyNumberFormat="1" applyFont="1" applyFill="1" applyBorder="1"/>
    <x:xf numFmtId="200" fontId="0" fillId="6" borderId="9" xfId="0" applyNumberFormat="1" applyFont="1" applyFill="1" applyBorder="1"/>
    <x:xf numFmtId="0" fontId="0" fillId="6" borderId="9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201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/>
    </x:xf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201" fontId="6" fillId="6" borderId="6" xfId="0" applyNumberFormat="1" applyFont="1" applyFill="1" applyBorder="1"/>
    <x:xf numFmtId="0" fontId="6" fillId="6" borderId="7" xfId="0" applyNumberFormat="1" applyFont="1" applyFill="1" applyBorder="1"/>
    <x:xf numFmtId="200" fontId="6" fillId="6" borderId="9" xfId="0" applyNumberFormat="1" applyFont="1" applyFill="1" applyBorder="1"/>
    <x:xf numFmtId="0" fontId="6" fillId="6" borderId="9" xfId="0" applyNumberFormat="1" applyFont="1" applyFill="1" applyBorder="1"/>
    <x:xf numFmtId="201" fontId="6" fillId="6" borderId="0" xfId="0" applyNumberFormat="1" applyFont="1" applyFill="1" applyBorder="1"/>
    <x:xf numFmtId="200" fontId="6" fillId="6" borderId="0" xfId="0" applyNumberFormat="1" applyFont="1" applyFill="1" applyBorder="1"/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6" fillId="6" borderId="5" xfId="0" applyNumberFormat="1" applyFont="1" applyFill="1" applyBorder="1" applyAlignment="1">
      <x:alignment vertical="center"/>
    </x:xf>
    <x:xf numFmtId="0" fontId="6" fillId="6" borderId="6" xfId="0" applyNumberFormat="1" applyFont="1" applyFill="1" applyBorder="1" applyAlignment="1">
      <x:alignment vertical="center"/>
    </x:xf>
    <x:xf numFmtId="201" fontId="6" fillId="6" borderId="6" xfId="0" applyNumberFormat="1" applyFont="1" applyFill="1" applyBorder="1" applyAlignment="1">
      <x:alignment vertical="center"/>
    </x:xf>
    <x:xf numFmtId="0" fontId="6" fillId="6" borderId="7" xfId="0" applyNumberFormat="1" applyFont="1" applyFill="1" applyBorder="1" applyAlignment="1">
      <x:alignment vertical="center"/>
    </x:xf>
    <x:xf numFmtId="200" fontId="6" fillId="6" borderId="9" xfId="0" applyNumberFormat="1" applyFont="1" applyFill="1" applyBorder="1" applyAlignment="1">
      <x:alignment vertical="center"/>
    </x:xf>
    <x:xf numFmtId="0" fontId="6" fillId="6" borderId="9" xfId="0" applyNumberFormat="1" applyFont="1" applyFill="1" applyBorder="1" applyAlignment="1">
      <x:alignment vertical="center"/>
    </x:xf>
    <x:xf numFmtId="201" fontId="6" fillId="6" borderId="0" xfId="0" applyNumberFormat="1" applyFont="1" applyFill="1" applyBorder="1" applyAlignment="1">
      <x:alignment vertical="center"/>
    </x:xf>
    <x:xf numFmtId="200" fontId="6" fillId="6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 applyAlignment="1">
      <x:alignment horizontal="center" vertical="center"/>
    </x:xf>
    <x:xf numFmtId="0" fontId="10" fillId="6" borderId="0" xfId="0" applyNumberFormat="1" applyFont="1" applyFill="1" applyBorder="1" applyAlignment="1">
      <x:alignment vertical="center"/>
    </x:xf>
    <x:xf numFmtId="0" fontId="4" fillId="7" borderId="2" xfId="0" applyNumberFormat="1" applyFont="1" applyFill="1" applyBorder="1" applyAlignment="1">
      <x:alignment horizontal="center" vertical="center"/>
    </x:xf>
    <x:xf numFmtId="0" fontId="4" fillId="7" borderId="4" xfId="0" applyNumberFormat="1" applyFont="1" applyFill="1" applyBorder="1" applyAlignment="1">
      <x:alignment horizontal="center" vertic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6" fillId="6" borderId="6" xfId="0" applyNumberFormat="1" applyFont="1" applyFill="1" applyBorder="1" applyAlignment="1">
      <x:alignment horizontal="center" vertical="center"/>
    </x:xf>
    <x:xf numFmtId="201" fontId="6" fillId="6" borderId="6" xfId="0" applyNumberFormat="1" applyFont="1" applyFill="1" applyBorder="1" applyAlignment="1">
      <x:alignment horizontal="center" vertical="center"/>
    </x:xf>
    <x:xf numFmtId="201" fontId="6" fillId="6" borderId="0" xfId="0" applyNumberFormat="1" applyFont="1" applyFill="1" applyBorder="1" applyAlignment="1">
      <x:alignment horizontal="center" vertical="center"/>
    </x:xf>
    <x:xf numFmtId="0" fontId="6" fillId="6" borderId="9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74813d4ae04c6e" /><Relationship Type="http://schemas.openxmlformats.org/officeDocument/2006/relationships/theme" Target="/xl/theme/theme1.xml" Id="R67445e5bc2964d37" /><Relationship Type="http://schemas.openxmlformats.org/officeDocument/2006/relationships/sharedStrings" Target="/xl/sharedStrings.xml" Id="R6ca5b545eb2f41ac" /><Relationship Type="http://schemas.openxmlformats.org/officeDocument/2006/relationships/worksheet" Target="/xl/worksheets/sheet1.xml" Id="R0e258e7f55df4c1d" /><Relationship Type="http://schemas.openxmlformats.org/officeDocument/2006/relationships/worksheet" Target="/xl/worksheets/sheet2.xml" Id="Rd560705247c440a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36af105f8f64e7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Distribusi Jenis Kelamin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'Ringkasan'!$A$4:$A$6</c:f>
              <c:strCache>
                <c:ptCount val="0"/>
              </c:strCache>
            </c:strRef>
          </c:cat>
          <c:val>
            <c:numRef>
              <c:f>'Ringkasan'!$B$4:$B$6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6af105f8f64e7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0dc85d3dbe94f34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3" hidden="0" customWidth="1"/>
    <x:col min="8" max="8" width="13" hidden="0" customWidth="1"/>
  </x:cols>
  <x:sheetData>
    <x:row r="1" ht="30" customHeight="1">
      <x:c r="A1" s="119" t="str">
        <x:v>Data Teman Mahasiswa - Contoh Sintetis</x:v>
      </x:c>
      <x:c r="B1" s="119"/>
      <x:c r="C1" s="119"/>
      <x:c r="D1" s="119"/>
      <x:c r="E1" s="119"/>
      <x:c r="F1" s="119"/>
      <x:c r="G1" s="119"/>
      <x:c r="H1" s="119"/>
    </x:row>
    <x:row r="2" ht="34" customHeight="1">
      <x:c r="A2" s="120" t="str">
        <x:v>Catatan: data di bawah adalah data simulasi/sintetis untuk contoh pengisian. Ganti dengan data teman yang benar-benar dikumpulkan sebelum dikumpulkan sebagai tugas.</x:v>
      </x:c>
      <x:c r="B2" s="120"/>
      <x:c r="C2" s="120"/>
      <x:c r="D2" s="120"/>
      <x:c r="E2" s="120"/>
      <x:c r="F2" s="120"/>
      <x:c r="G2" s="120"/>
      <x:c r="H2" s="120"/>
    </x:row>
    <x:row r="3">
      <x:c r="A3" s="110"/>
      <x:c r="B3" s="110"/>
      <x:c r="C3" s="110"/>
      <x:c r="D3" s="110"/>
      <x:c r="E3" s="110"/>
      <x:c r="F3" s="110"/>
      <x:c r="G3" s="110"/>
      <x:c r="H3" s="110"/>
    </x:row>
    <x:row r="4" ht="26" customHeight="1">
      <x:c r="A4" s="121" t="str">
        <x:v>No</x:v>
      </x:c>
      <x:c r="B4" s="122" t="str">
        <x:v>Nama Lengkap</x:v>
      </x:c>
      <x:c r="C4" s="122" t="str">
        <x:v>Jenis Kelamin</x:v>
      </x:c>
      <x:c r="D4" s="122" t="str">
        <x:v>Kota Asal</x:v>
      </x:c>
      <x:c r="E4" s="122" t="str">
        <x:v>Tinggi Badan (cm)</x:v>
      </x:c>
      <x:c r="F4" s="122" t="str">
        <x:v>Berat Badan (kg)</x:v>
      </x:c>
      <x:c r="G4" s="122" t="str">
        <x:v>Asal Kelas</x:v>
      </x:c>
      <x:c r="H4" s="123" t="str">
        <x:v>Target IPS</x:v>
      </x:c>
    </x:row>
    <x:row r="5">
      <x:c r="A5" s="125" t="n">
        <x:v>1</x:v>
      </x:c>
      <x:c r="B5" s="126" t="str">
        <x:v>Raka Aditya Pratama</x:v>
      </x:c>
      <x:c r="C5" s="127" t="str">
        <x:v>Laki-laki</x:v>
      </x:c>
      <x:c r="D5" s="126" t="str">
        <x:v>Malang</x:v>
      </x:c>
      <x:c r="E5" s="134" t="n">
        <x:v>172</x:v>
      </x:c>
      <x:c r="F5" s="134" t="n">
        <x:v>64</x:v>
      </x:c>
      <x:c r="G5" s="127" t="str">
        <x:v>TI-A</x:v>
      </x:c>
      <x:c r="H5" s="128" t="n">
        <x:v>3.75</x:v>
      </x:c>
    </x:row>
    <x:row r="6">
      <x:c r="A6" s="125" t="n">
        <x:v>2</x:v>
      </x:c>
      <x:c r="B6" s="126" t="str">
        <x:v>Nabila Putri Maharani</x:v>
      </x:c>
      <x:c r="C6" s="127" t="str">
        <x:v>Perempuan</x:v>
      </x:c>
      <x:c r="D6" s="126" t="str">
        <x:v>Blitar</x:v>
      </x:c>
      <x:c r="E6" s="134" t="n">
        <x:v>158</x:v>
      </x:c>
      <x:c r="F6" s="134" t="n">
        <x:v>50</x:v>
      </x:c>
      <x:c r="G6" s="127" t="str">
        <x:v>TI-B</x:v>
      </x:c>
      <x:c r="H6" s="128" t="n">
        <x:v>3.8</x:v>
      </x:c>
    </x:row>
    <x:row r="7">
      <x:c r="A7" s="125" t="n">
        <x:v>3</x:v>
      </x:c>
      <x:c r="B7" s="126" t="str">
        <x:v>Dimas Arya Saputra</x:v>
      </x:c>
      <x:c r="C7" s="127" t="str">
        <x:v>Laki-laki</x:v>
      </x:c>
      <x:c r="D7" s="126" t="str">
        <x:v>Kediri</x:v>
      </x:c>
      <x:c r="E7" s="134" t="n">
        <x:v>168</x:v>
      </x:c>
      <x:c r="F7" s="134" t="n">
        <x:v>61</x:v>
      </x:c>
      <x:c r="G7" s="127" t="str">
        <x:v>TI-C</x:v>
      </x:c>
      <x:c r="H7" s="128" t="n">
        <x:v>3.65</x:v>
      </x:c>
    </x:row>
    <x:row r="8">
      <x:c r="A8" s="125" t="n">
        <x:v>4</x:v>
      </x:c>
      <x:c r="B8" s="126" t="str">
        <x:v>Alya Rahma Nurfadila</x:v>
      </x:c>
      <x:c r="C8" s="127" t="str">
        <x:v>Perempuan</x:v>
      </x:c>
      <x:c r="D8" s="126" t="str">
        <x:v>Sidoarjo</x:v>
      </x:c>
      <x:c r="E8" s="134" t="n">
        <x:v>155</x:v>
      </x:c>
      <x:c r="F8" s="134" t="n">
        <x:v>47</x:v>
      </x:c>
      <x:c r="G8" s="127" t="str">
        <x:v>TI-D</x:v>
      </x:c>
      <x:c r="H8" s="128" t="n">
        <x:v>3.85</x:v>
      </x:c>
    </x:row>
    <x:row r="9">
      <x:c r="A9" s="125" t="n">
        <x:v>5</x:v>
      </x:c>
      <x:c r="B9" s="126" t="str">
        <x:v>Fajar Rizky Ramadhan</x:v>
      </x:c>
      <x:c r="C9" s="127" t="str">
        <x:v>Laki-laki</x:v>
      </x:c>
      <x:c r="D9" s="126" t="str">
        <x:v>Pasuruan</x:v>
      </x:c>
      <x:c r="E9" s="134" t="n">
        <x:v>175</x:v>
      </x:c>
      <x:c r="F9" s="134" t="n">
        <x:v>70</x:v>
      </x:c>
      <x:c r="G9" s="127" t="str">
        <x:v>TI-E</x:v>
      </x:c>
      <x:c r="H9" s="128" t="n">
        <x:v>3.7</x:v>
      </x:c>
    </x:row>
    <x:row r="10">
      <x:c r="A10" s="125" t="n">
        <x:v>6</x:v>
      </x:c>
      <x:c r="B10" s="126" t="str">
        <x:v>Shafa Azzahra Putri</x:v>
      </x:c>
      <x:c r="C10" s="127" t="str">
        <x:v>Perempuan</x:v>
      </x:c>
      <x:c r="D10" s="126" t="str">
        <x:v>Tulungagung</x:v>
      </x:c>
      <x:c r="E10" s="134" t="n">
        <x:v>160</x:v>
      </x:c>
      <x:c r="F10" s="134" t="n">
        <x:v>52</x:v>
      </x:c>
      <x:c r="G10" s="127" t="str">
        <x:v>TI-F</x:v>
      </x:c>
      <x:c r="H10" s="128" t="n">
        <x:v>3.9</x:v>
      </x:c>
    </x:row>
    <x:row r="11">
      <x:c r="A11" s="125" t="n">
        <x:v>7</x:v>
      </x:c>
      <x:c r="B11" s="126" t="str">
        <x:v>Bagas Dwi Kurniawan</x:v>
      </x:c>
      <x:c r="C11" s="127" t="str">
        <x:v>Laki-laki</x:v>
      </x:c>
      <x:c r="D11" s="126" t="str">
        <x:v>Jombang</x:v>
      </x:c>
      <x:c r="E11" s="134" t="n">
        <x:v>170</x:v>
      </x:c>
      <x:c r="F11" s="134" t="n">
        <x:v>66</x:v>
      </x:c>
      <x:c r="G11" s="127" t="str">
        <x:v>TI-G</x:v>
      </x:c>
      <x:c r="H11" s="128" t="n">
        <x:v>3.6</x:v>
      </x:c>
    </x:row>
    <x:row r="12">
      <x:c r="A12" s="125" t="n">
        <x:v>8</x:v>
      </x:c>
      <x:c r="B12" s="126" t="str">
        <x:v>Keisya Anindita Sari</x:v>
      </x:c>
      <x:c r="C12" s="127" t="str">
        <x:v>Perempuan</x:v>
      </x:c>
      <x:c r="D12" s="126" t="str">
        <x:v>Madiun</x:v>
      </x:c>
      <x:c r="E12" s="134" t="n">
        <x:v>157</x:v>
      </x:c>
      <x:c r="F12" s="134" t="n">
        <x:v>49</x:v>
      </x:c>
      <x:c r="G12" s="127" t="str">
        <x:v>TI-H</x:v>
      </x:c>
      <x:c r="H12" s="128" t="n">
        <x:v>3.78</x:v>
      </x:c>
    </x:row>
    <x:row r="13">
      <x:c r="A13" s="125" t="n">
        <x:v>9</x:v>
      </x:c>
      <x:c r="B13" s="126" t="str">
        <x:v>Muhammad Farhan Akbar</x:v>
      </x:c>
      <x:c r="C13" s="127" t="str">
        <x:v>Laki-laki</x:v>
      </x:c>
      <x:c r="D13" s="126" t="str">
        <x:v>Gresik</x:v>
      </x:c>
      <x:c r="E13" s="134" t="n">
        <x:v>178</x:v>
      </x:c>
      <x:c r="F13" s="134" t="n">
        <x:v>74</x:v>
      </x:c>
      <x:c r="G13" s="127" t="str">
        <x:v>TI-I</x:v>
      </x:c>
      <x:c r="H13" s="128" t="n">
        <x:v>3.72</x:v>
      </x:c>
    </x:row>
    <x:row r="14">
      <x:c r="A14" s="125" t="n">
        <x:v>10</x:v>
      </x:c>
      <x:c r="B14" s="126" t="str">
        <x:v>Citra Ayu Lestari</x:v>
      </x:c>
      <x:c r="C14" s="127" t="str">
        <x:v>Perempuan</x:v>
      </x:c>
      <x:c r="D14" s="126" t="str">
        <x:v>Batu</x:v>
      </x:c>
      <x:c r="E14" s="134" t="n">
        <x:v>162</x:v>
      </x:c>
      <x:c r="F14" s="134" t="n">
        <x:v>54</x:v>
      </x:c>
      <x:c r="G14" s="127" t="str">
        <x:v>SIB-A</x:v>
      </x:c>
      <x:c r="H14" s="128" t="n">
        <x:v>3.88</x:v>
      </x:c>
    </x:row>
    <x:row r="15">
      <x:c r="A15" s="125" t="n">
        <x:v>11</x:v>
      </x:c>
      <x:c r="B15" s="126" t="str">
        <x:v>Rizky Maulana Hakim</x:v>
      </x:c>
      <x:c r="C15" s="127" t="str">
        <x:v>Laki-laki</x:v>
      </x:c>
      <x:c r="D15" s="126" t="str">
        <x:v>Mojokerto</x:v>
      </x:c>
      <x:c r="E15" s="134" t="n">
        <x:v>171</x:v>
      </x:c>
      <x:c r="F15" s="134" t="n">
        <x:v>67</x:v>
      </x:c>
      <x:c r="G15" s="127" t="str">
        <x:v>SIB-B</x:v>
      </x:c>
      <x:c r="H15" s="128" t="n">
        <x:v>3.68</x:v>
      </x:c>
    </x:row>
    <x:row r="16">
      <x:c r="A16" s="125" t="n">
        <x:v>12</x:v>
      </x:c>
      <x:c r="B16" s="126" t="str">
        <x:v>Nadya Safira Ramadhani</x:v>
      </x:c>
      <x:c r="C16" s="127" t="str">
        <x:v>Perempuan</x:v>
      </x:c>
      <x:c r="D16" s="126" t="str">
        <x:v>Probolinggo</x:v>
      </x:c>
      <x:c r="E16" s="134" t="n">
        <x:v>159</x:v>
      </x:c>
      <x:c r="F16" s="134" t="n">
        <x:v>51</x:v>
      </x:c>
      <x:c r="G16" s="127" t="str">
        <x:v>SIB-C</x:v>
      </x:c>
      <x:c r="H16" s="128" t="n">
        <x:v>3.82</x:v>
      </x:c>
    </x:row>
    <x:row r="17">
      <x:c r="A17" s="125" t="n">
        <x:v>13</x:v>
      </x:c>
      <x:c r="B17" s="126" t="str">
        <x:v>Andika Prasetyo Nugroho</x:v>
      </x:c>
      <x:c r="C17" s="127" t="str">
        <x:v>Laki-laki</x:v>
      </x:c>
      <x:c r="D17" s="126" t="str">
        <x:v>Lumajang</x:v>
      </x:c>
      <x:c r="E17" s="134" t="n">
        <x:v>173</x:v>
      </x:c>
      <x:c r="F17" s="134" t="n">
        <x:v>69</x:v>
      </x:c>
      <x:c r="G17" s="127" t="str">
        <x:v>SIB-D</x:v>
      </x:c>
      <x:c r="H17" s="128" t="n">
        <x:v>3.55</x:v>
      </x:c>
    </x:row>
    <x:row r="18">
      <x:c r="A18" s="125" t="n">
        <x:v>14</x:v>
      </x:c>
      <x:c r="B18" s="126" t="str">
        <x:v>Intan Nur Azizah</x:v>
      </x:c>
      <x:c r="C18" s="127" t="str">
        <x:v>Perempuan</x:v>
      </x:c>
      <x:c r="D18" s="126" t="str">
        <x:v>Nganjuk</x:v>
      </x:c>
      <x:c r="E18" s="134" t="n">
        <x:v>156</x:v>
      </x:c>
      <x:c r="F18" s="134" t="n">
        <x:v>48</x:v>
      </x:c>
      <x:c r="G18" s="127" t="str">
        <x:v>SIB-E</x:v>
      </x:c>
      <x:c r="H18" s="128" t="n">
        <x:v>3.76</x:v>
      </x:c>
    </x:row>
    <x:row r="19">
      <x:c r="A19" s="125" t="n">
        <x:v>15</x:v>
      </x:c>
      <x:c r="B19" s="126" t="str">
        <x:v>Galang Satya Wibowo</x:v>
      </x:c>
      <x:c r="C19" s="127" t="str">
        <x:v>Laki-laki</x:v>
      </x:c>
      <x:c r="D19" s="126" t="str">
        <x:v>Surabaya</x:v>
      </x:c>
      <x:c r="E19" s="134" t="n">
        <x:v>180</x:v>
      </x:c>
      <x:c r="F19" s="134" t="n">
        <x:v>78</x:v>
      </x:c>
      <x:c r="G19" s="127" t="str">
        <x:v>SIB-F</x:v>
      </x:c>
      <x:c r="H19" s="128" t="n">
        <x:v>3.7</x:v>
      </x:c>
    </x:row>
    <x:row r="20">
      <x:c r="A20" s="125" t="n">
        <x:v>16</x:v>
      </x:c>
      <x:c r="B20" s="126" t="str">
        <x:v>Aurel Maharani Putri</x:v>
      </x:c>
      <x:c r="C20" s="127" t="str">
        <x:v>Perempuan</x:v>
      </x:c>
      <x:c r="D20" s="126" t="str">
        <x:v>Malang</x:v>
      </x:c>
      <x:c r="E20" s="134" t="n">
        <x:v>163</x:v>
      </x:c>
      <x:c r="F20" s="134" t="n">
        <x:v>55</x:v>
      </x:c>
      <x:c r="G20" s="127" t="str">
        <x:v>SIB-G</x:v>
      </x:c>
      <x:c r="H20" s="128" t="n">
        <x:v>3.92</x:v>
      </x:c>
    </x:row>
    <x:row r="21">
      <x:c r="A21" s="125" t="n">
        <x:v>17</x:v>
      </x:c>
      <x:c r="B21" s="126" t="str">
        <x:v>Yoga Pradana Setiawan</x:v>
      </x:c>
      <x:c r="C21" s="127" t="str">
        <x:v>Laki-laki</x:v>
      </x:c>
      <x:c r="D21" s="126" t="str">
        <x:v>Banyuwangi</x:v>
      </x:c>
      <x:c r="E21" s="134" t="n">
        <x:v>169</x:v>
      </x:c>
      <x:c r="F21" s="134" t="n">
        <x:v>63</x:v>
      </x:c>
      <x:c r="G21" s="127" t="str">
        <x:v>TI-A</x:v>
      </x:c>
      <x:c r="H21" s="128" t="n">
        <x:v>3.58</x:v>
      </x:c>
    </x:row>
    <x:row r="22">
      <x:c r="A22" s="125" t="n">
        <x:v>18</x:v>
      </x:c>
      <x:c r="B22" s="126" t="str">
        <x:v>Salma Nabila Zahra</x:v>
      </x:c>
      <x:c r="C22" s="127" t="str">
        <x:v>Perempuan</x:v>
      </x:c>
      <x:c r="D22" s="126" t="str">
        <x:v>Kediri</x:v>
      </x:c>
      <x:c r="E22" s="134" t="n">
        <x:v>154</x:v>
      </x:c>
      <x:c r="F22" s="134" t="n">
        <x:v>46</x:v>
      </x:c>
      <x:c r="G22" s="127" t="str">
        <x:v>TI-B</x:v>
      </x:c>
      <x:c r="H22" s="128" t="n">
        <x:v>3.84</x:v>
      </x:c>
    </x:row>
    <x:row r="23">
      <x:c r="A23" s="125" t="n">
        <x:v>19</x:v>
      </x:c>
      <x:c r="B23" s="126" t="str">
        <x:v>Alvin Daffa Prakoso</x:v>
      </x:c>
      <x:c r="C23" s="127" t="str">
        <x:v>Laki-laki</x:v>
      </x:c>
      <x:c r="D23" s="126" t="str">
        <x:v>Ponorogo</x:v>
      </x:c>
      <x:c r="E23" s="134" t="n">
        <x:v>176</x:v>
      </x:c>
      <x:c r="F23" s="134" t="n">
        <x:v>72</x:v>
      </x:c>
      <x:c r="G23" s="127" t="str">
        <x:v>TI-C</x:v>
      </x:c>
      <x:c r="H23" s="128" t="n">
        <x:v>3.62</x:v>
      </x:c>
    </x:row>
    <x:row r="24">
      <x:c r="A24" s="125" t="n">
        <x:v>20</x:v>
      </x:c>
      <x:c r="B24" s="126" t="str">
        <x:v>Vania Putri Amelia</x:v>
      </x:c>
      <x:c r="C24" s="127" t="str">
        <x:v>Perempuan</x:v>
      </x:c>
      <x:c r="D24" s="126" t="str">
        <x:v>Sidoarjo</x:v>
      </x:c>
      <x:c r="E24" s="134" t="n">
        <x:v>161</x:v>
      </x:c>
      <x:c r="F24" s="134" t="n">
        <x:v>53</x:v>
      </x:c>
      <x:c r="G24" s="127" t="str">
        <x:v>TI-D</x:v>
      </x:c>
      <x:c r="H24" s="128" t="n">
        <x:v>3.87</x:v>
      </x:c>
    </x:row>
    <x:row r="25">
      <x:c r="A25" s="125" t="n">
        <x:v>21</x:v>
      </x:c>
      <x:c r="B25" s="126" t="str">
        <x:v>Rafi Alghifari Hidayat</x:v>
      </x:c>
      <x:c r="C25" s="127" t="str">
        <x:v>Laki-laki</x:v>
      </x:c>
      <x:c r="D25" s="126" t="str">
        <x:v>Blitar</x:v>
      </x:c>
      <x:c r="E25" s="134" t="n">
        <x:v>174</x:v>
      </x:c>
      <x:c r="F25" s="134" t="n">
        <x:v>68</x:v>
      </x:c>
      <x:c r="G25" s="127" t="str">
        <x:v>TI-E</x:v>
      </x:c>
      <x:c r="H25" s="128" t="n">
        <x:v>3.74</x:v>
      </x:c>
    </x:row>
    <x:row r="26">
      <x:c r="A26" s="125" t="n">
        <x:v>22</x:v>
      </x:c>
      <x:c r="B26" s="126" t="str">
        <x:v>Dinda Ayu Permatasari</x:v>
      </x:c>
      <x:c r="C26" s="127" t="str">
        <x:v>Perempuan</x:v>
      </x:c>
      <x:c r="D26" s="126" t="str">
        <x:v>Tuban</x:v>
      </x:c>
      <x:c r="E26" s="134" t="n">
        <x:v>158</x:v>
      </x:c>
      <x:c r="F26" s="134" t="n">
        <x:v>50</x:v>
      </x:c>
      <x:c r="G26" s="127" t="str">
        <x:v>TI-F</x:v>
      </x:c>
      <x:c r="H26" s="128" t="n">
        <x:v>3.81</x:v>
      </x:c>
    </x:row>
    <x:row r="27">
      <x:c r="A27" s="125" t="n">
        <x:v>23</x:v>
      </x:c>
      <x:c r="B27" s="126" t="str">
        <x:v>Arif Bima Mahendra</x:v>
      </x:c>
      <x:c r="C27" s="127" t="str">
        <x:v>Laki-laki</x:v>
      </x:c>
      <x:c r="D27" s="126" t="str">
        <x:v>Jember</x:v>
      </x:c>
      <x:c r="E27" s="134" t="n">
        <x:v>177</x:v>
      </x:c>
      <x:c r="F27" s="134" t="n">
        <x:v>75</x:v>
      </x:c>
      <x:c r="G27" s="127" t="str">
        <x:v>TI-G</x:v>
      </x:c>
      <x:c r="H27" s="128" t="n">
        <x:v>3.66</x:v>
      </x:c>
    </x:row>
    <x:row r="28">
      <x:c r="A28" s="125" t="n">
        <x:v>24</x:v>
      </x:c>
      <x:c r="B28" s="126" t="str">
        <x:v>Zahra Khairunnisa</x:v>
      </x:c>
      <x:c r="C28" s="127" t="str">
        <x:v>Perempuan</x:v>
      </x:c>
      <x:c r="D28" s="126" t="str">
        <x:v>Pasuruan</x:v>
      </x:c>
      <x:c r="E28" s="134" t="n">
        <x:v>160</x:v>
      </x:c>
      <x:c r="F28" s="134" t="n">
        <x:v>52</x:v>
      </x:c>
      <x:c r="G28" s="127" t="str">
        <x:v>TI-H</x:v>
      </x:c>
      <x:c r="H28" s="128" t="n">
        <x:v>3.95</x:v>
      </x:c>
    </x:row>
    <x:row r="29">
      <x:c r="A29" s="125" t="n">
        <x:v>25</x:v>
      </x:c>
      <x:c r="B29" s="126" t="str">
        <x:v>Naufal Fikriansyah</x:v>
      </x:c>
      <x:c r="C29" s="127" t="str">
        <x:v>Laki-laki</x:v>
      </x:c>
      <x:c r="D29" s="126" t="str">
        <x:v>Lamongan</x:v>
      </x:c>
      <x:c r="E29" s="134" t="n">
        <x:v>171</x:v>
      </x:c>
      <x:c r="F29" s="134" t="n">
        <x:v>65</x:v>
      </x:c>
      <x:c r="G29" s="127" t="str">
        <x:v>TI-I</x:v>
      </x:c>
      <x:c r="H29" s="128" t="n">
        <x:v>3.69</x:v>
      </x:c>
    </x:row>
    <x:row r="30">
      <x:c r="A30" s="125" t="n">
        <x:v>26</x:v>
      </x:c>
      <x:c r="B30" s="126" t="str">
        <x:v>Nayla Putri Hanifah</x:v>
      </x:c>
      <x:c r="C30" s="127" t="str">
        <x:v>Perempuan</x:v>
      </x:c>
      <x:c r="D30" s="126" t="str">
        <x:v>Madiun</x:v>
      </x:c>
      <x:c r="E30" s="134" t="n">
        <x:v>157</x:v>
      </x:c>
      <x:c r="F30" s="134" t="n">
        <x:v>49</x:v>
      </x:c>
      <x:c r="G30" s="127" t="str">
        <x:v>SIB-A</x:v>
      </x:c>
      <x:c r="H30" s="128" t="n">
        <x:v>3.86</x:v>
      </x:c>
    </x:row>
    <x:row r="31">
      <x:c r="A31" s="125" t="n">
        <x:v>27</x:v>
      </x:c>
      <x:c r="B31" s="126" t="str">
        <x:v>Reza Aji Firmansyah</x:v>
      </x:c>
      <x:c r="C31" s="127" t="str">
        <x:v>Laki-laki</x:v>
      </x:c>
      <x:c r="D31" s="126" t="str">
        <x:v>Malang</x:v>
      </x:c>
      <x:c r="E31" s="134" t="n">
        <x:v>182</x:v>
      </x:c>
      <x:c r="F31" s="134" t="n">
        <x:v>82</x:v>
      </x:c>
      <x:c r="G31" s="127" t="str">
        <x:v>SIB-B</x:v>
      </x:c>
      <x:c r="H31" s="128" t="n">
        <x:v>3.5</x:v>
      </x:c>
    </x:row>
    <x:row r="32">
      <x:c r="A32" s="125" t="n">
        <x:v>28</x:v>
      </x:c>
      <x:c r="B32" s="126" t="str">
        <x:v>Fina Oktaviani Rahma</x:v>
      </x:c>
      <x:c r="C32" s="127" t="str">
        <x:v>Perempuan</x:v>
      </x:c>
      <x:c r="D32" s="126" t="str">
        <x:v>Bojonegoro</x:v>
      </x:c>
      <x:c r="E32" s="134" t="n">
        <x:v>164</x:v>
      </x:c>
      <x:c r="F32" s="134" t="n">
        <x:v>56</x:v>
      </x:c>
      <x:c r="G32" s="127" t="str">
        <x:v>SIB-C</x:v>
      </x:c>
      <x:c r="H32" s="128" t="n">
        <x:v>3.79</x:v>
      </x:c>
    </x:row>
    <x:row r="33">
      <x:c r="A33" s="125" t="n">
        <x:v>29</x:v>
      </x:c>
      <x:c r="B33" s="126" t="str">
        <x:v>Ilham Wahyu Kurnia</x:v>
      </x:c>
      <x:c r="C33" s="127" t="str">
        <x:v>Laki-laki</x:v>
      </x:c>
      <x:c r="D33" s="126" t="str">
        <x:v>Sidoarjo</x:v>
      </x:c>
      <x:c r="E33" s="134" t="n">
        <x:v>168</x:v>
      </x:c>
      <x:c r="F33" s="134" t="n">
        <x:v>62</x:v>
      </x:c>
      <x:c r="G33" s="127" t="str">
        <x:v>SIB-D</x:v>
      </x:c>
      <x:c r="H33" s="128" t="n">
        <x:v>3.64</x:v>
      </x:c>
    </x:row>
    <x:row r="34">
      <x:c r="A34" s="129" t="n">
        <x:v>30</x:v>
      </x:c>
      <x:c r="B34" s="130" t="str">
        <x:v>Amelia Nur Hapsari</x:v>
      </x:c>
      <x:c r="C34" s="131" t="str">
        <x:v>Perempuan</x:v>
      </x:c>
      <x:c r="D34" s="130" t="str">
        <x:v>Trenggalek</x:v>
      </x:c>
      <x:c r="E34" s="135" t="n">
        <x:v>159</x:v>
      </x:c>
      <x:c r="F34" s="135" t="n">
        <x:v>51</x:v>
      </x:c>
      <x:c r="G34" s="131" t="str">
        <x:v>SIB-E</x:v>
      </x:c>
      <x:c r="H34" s="132" t="n">
        <x:v>3.89</x:v>
      </x:c>
    </x:row>
  </x:sheetData>
  <x:mergeCells>
    <x:mergeCell ref="A1:H1"/>
    <x:mergeCell ref="A2:H2"/>
  </x:mergeCells>
  <x:dataValidations count="3">
    <x:dataValidation type="list" sqref="C5:C34">
      <x:formula1>"Laki-laki,Perempuan"</x:formula1>
    </x:dataValidation>
    <x:dataValidation type="list" sqref="G5:G34">
      <x:formula1>"TI-A,TI-B,TI-C,TI-D,TI-E,TI-F,TI-G,TI-H,TI-I,SIB-A,SIB-B,SIB-C,SIB-D,SIB-E,SIB-F,SIB-G"</x:formula1>
    </x:dataValidation>
    <x:dataValidation type="decimal" operator="between" sqref="H5:H34">
      <x:formula1>0</x:formula1>
      <x:formula2>4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4" max="4" width="13" hidden="0" customWidth="1"/>
    <x:col min="5" max="5" width="10" hidden="0" customWidth="1"/>
    <x:col min="3" max="3" width="4" hidden="0" customWidth="1"/>
  </x:cols>
  <x:sheetData>
    <x:row r="1" ht="28" customHeight="1">
      <x:c r="A1" s="169" t="str">
        <x:v>Ringkasan Data (Sintetis)</x:v>
      </x:c>
      <x:c r="B1" s="169"/>
      <x:c r="C1" s="169"/>
      <x:c r="D1" s="169"/>
      <x:c r="E1" s="169"/>
    </x:row>
    <x:row r="2">
      <x:c r="A2" s="110"/>
      <x:c r="B2" s="110"/>
      <x:c r="C2" s="110"/>
      <x:c r="D2" s="110"/>
      <x:c r="E2" s="110"/>
    </x:row>
    <x:row r="3">
      <x:c r="A3" s="171" t="str">
        <x:v>Indikator</x:v>
      </x:c>
      <x:c r="B3" s="172" t="str">
        <x:v>Nilai</x:v>
      </x:c>
      <x:c r="C3" s="110"/>
      <x:c r="D3" s="171" t="str">
        <x:v>Asal Kelas</x:v>
      </x:c>
      <x:c r="E3" s="172" t="str">
        <x:v>Jumlah</x:v>
      </x:c>
    </x:row>
    <x:row r="4">
      <x:c r="A4" s="161" t="str">
        <x:v>Jumlah Data</x:v>
      </x:c>
      <x:c r="B4" s="174" t="n">
        <x:f>COUNTA('Data Mahasiswa'!B5:B34)</x:f>
        <x:v>30</x:v>
      </x:c>
      <x:c r="C4" s="110"/>
      <x:c r="D4" s="109" t="str">
        <x:v>TI-A</x:v>
      </x:c>
      <x:c r="E4" s="174" t="n">
        <x:f>COUNTIF('Data Mahasiswa'!G5:G34,D4)</x:f>
        <x:v>2</x:v>
      </x:c>
    </x:row>
    <x:row r="5">
      <x:c r="A5" s="161" t="str">
        <x:v>Jumlah Laki-laki</x:v>
      </x:c>
      <x:c r="B5" s="174" t="n">
        <x:f>COUNTIF('Data Mahasiswa'!C5:C34,"Laki-laki")</x:f>
        <x:v>15</x:v>
      </x:c>
      <x:c r="C5" s="110"/>
      <x:c r="D5" s="109" t="str">
        <x:v>TI-B</x:v>
      </x:c>
      <x:c r="E5" s="174" t="n">
        <x:f>COUNTIF('Data Mahasiswa'!G5:G34,D5)</x:f>
        <x:v>2</x:v>
      </x:c>
    </x:row>
    <x:row r="6">
      <x:c r="A6" s="161" t="str">
        <x:v>Jumlah Perempuan</x:v>
      </x:c>
      <x:c r="B6" s="174" t="n">
        <x:f>COUNTIF('Data Mahasiswa'!C5:C34,"Perempuan")</x:f>
        <x:v>15</x:v>
      </x:c>
      <x:c r="C6" s="110"/>
      <x:c r="D6" s="109" t="str">
        <x:v>TI-C</x:v>
      </x:c>
      <x:c r="E6" s="174" t="n">
        <x:f>COUNTIF('Data Mahasiswa'!G5:G34,D6)</x:f>
        <x:v>2</x:v>
      </x:c>
    </x:row>
    <x:row r="7">
      <x:c r="A7" s="161" t="str">
        <x:v>Rata-rata Tinggi (cm)</x:v>
      </x:c>
      <x:c r="B7" s="112" t="n">
        <x:f>AVERAGE('Data Mahasiswa'!E5:E34)</x:f>
        <x:v>166.23333333333332</x:v>
      </x:c>
      <x:c r="C7" s="110"/>
      <x:c r="D7" s="109" t="str">
        <x:v>TI-D</x:v>
      </x:c>
      <x:c r="E7" s="174" t="n">
        <x:f>COUNTIF('Data Mahasiswa'!G5:G34,D7)</x:f>
        <x:v>2</x:v>
      </x:c>
    </x:row>
    <x:row r="8">
      <x:c r="A8" s="161" t="str">
        <x:v>Rata-rata Berat (kg)</x:v>
      </x:c>
      <x:c r="B8" s="112" t="n">
        <x:f>AVERAGE('Data Mahasiswa'!F5:F34)</x:f>
        <x:v>59.96666666666667</x:v>
      </x:c>
      <x:c r="C8" s="110"/>
      <x:c r="D8" s="109" t="str">
        <x:v>TI-E</x:v>
      </x:c>
      <x:c r="E8" s="174" t="n">
        <x:f>COUNTIF('Data Mahasiswa'!G5:G34,D8)</x:f>
        <x:v>2</x:v>
      </x:c>
    </x:row>
    <x:row r="9">
      <x:c r="A9" s="164" t="str">
        <x:v>Rata-rata Target IPS</x:v>
      </x:c>
      <x:c r="B9" s="116" t="n">
        <x:f>AVERAGE('Data Mahasiswa'!H5:H34)</x:f>
        <x:v>3.7500000000000004</x:v>
      </x:c>
      <x:c r="C9" s="110"/>
      <x:c r="D9" s="109" t="str">
        <x:v>TI-F</x:v>
      </x:c>
      <x:c r="E9" s="174" t="n">
        <x:f>COUNTIF('Data Mahasiswa'!G5:G34,D9)</x:f>
        <x:v>2</x:v>
      </x:c>
    </x:row>
    <x:row r="10">
      <x:c r="A10" s="110"/>
      <x:c r="B10" s="110"/>
      <x:c r="C10" s="110"/>
      <x:c r="D10" s="109" t="str">
        <x:v>TI-G</x:v>
      </x:c>
      <x:c r="E10" s="174" t="n">
        <x:f>COUNTIF('Data Mahasiswa'!G5:G34,D10)</x:f>
        <x:v>2</x:v>
      </x:c>
    </x:row>
    <x:row r="11">
      <x:c r="A11" s="110"/>
      <x:c r="B11" s="110"/>
      <x:c r="C11" s="110"/>
      <x:c r="D11" s="109" t="str">
        <x:v>TI-H</x:v>
      </x:c>
      <x:c r="E11" s="174" t="n">
        <x:f>COUNTIF('Data Mahasiswa'!G5:G34,D11)</x:f>
        <x:v>2</x:v>
      </x:c>
    </x:row>
    <x:row r="12">
      <x:c r="A12" s="110"/>
      <x:c r="B12" s="110"/>
      <x:c r="C12" s="110"/>
      <x:c r="D12" s="109" t="str">
        <x:v>TI-I</x:v>
      </x:c>
      <x:c r="E12" s="174" t="n">
        <x:f>COUNTIF('Data Mahasiswa'!G5:G34,D12)</x:f>
        <x:v>2</x:v>
      </x:c>
    </x:row>
    <x:row r="13">
      <x:c r="A13" s="110"/>
      <x:c r="B13" s="110"/>
      <x:c r="C13" s="110"/>
      <x:c r="D13" s="109" t="str">
        <x:v>SIB-A</x:v>
      </x:c>
      <x:c r="E13" s="174" t="n">
        <x:f>COUNTIF('Data Mahasiswa'!G5:G34,D13)</x:f>
        <x:v>2</x:v>
      </x:c>
    </x:row>
    <x:row r="14">
      <x:c r="A14" s="110"/>
      <x:c r="B14" s="110"/>
      <x:c r="C14" s="110"/>
      <x:c r="D14" s="109" t="str">
        <x:v>SIB-B</x:v>
      </x:c>
      <x:c r="E14" s="174" t="n">
        <x:f>COUNTIF('Data Mahasiswa'!G5:G34,D14)</x:f>
        <x:v>2</x:v>
      </x:c>
    </x:row>
    <x:row r="15">
      <x:c r="A15" s="110"/>
      <x:c r="B15" s="110"/>
      <x:c r="C15" s="110"/>
      <x:c r="D15" s="109" t="str">
        <x:v>SIB-C</x:v>
      </x:c>
      <x:c r="E15" s="174" t="n">
        <x:f>COUNTIF('Data Mahasiswa'!G5:G34,D15)</x:f>
        <x:v>2</x:v>
      </x:c>
    </x:row>
    <x:row r="16">
      <x:c r="A16" s="110"/>
      <x:c r="B16" s="110"/>
      <x:c r="C16" s="110"/>
      <x:c r="D16" s="109" t="str">
        <x:v>SIB-D</x:v>
      </x:c>
      <x:c r="E16" s="174" t="n">
        <x:f>COUNTIF('Data Mahasiswa'!G5:G34,D16)</x:f>
        <x:v>2</x:v>
      </x:c>
    </x:row>
    <x:row r="17">
      <x:c r="A17" s="110"/>
      <x:c r="B17" s="110"/>
      <x:c r="C17" s="110"/>
      <x:c r="D17" s="109" t="str">
        <x:v>SIB-E</x:v>
      </x:c>
      <x:c r="E17" s="174" t="n">
        <x:f>COUNTIF('Data Mahasiswa'!G5:G34,D17)</x:f>
        <x:v>2</x:v>
      </x:c>
    </x:row>
    <x:row r="18">
      <x:c r="A18" s="110"/>
      <x:c r="B18" s="110"/>
      <x:c r="C18" s="110"/>
      <x:c r="D18" s="109" t="str">
        <x:v>SIB-F</x:v>
      </x:c>
      <x:c r="E18" s="174" t="n">
        <x:f>COUNTIF('Data Mahasiswa'!G5:G34,D18)</x:f>
        <x:v>1</x:v>
      </x:c>
    </x:row>
    <x:row r="19">
      <x:c r="A19" s="110"/>
      <x:c r="B19" s="110"/>
      <x:c r="C19" s="110"/>
      <x:c r="D19" s="113" t="str">
        <x:v>SIB-G</x:v>
      </x:c>
      <x:c r="E19" s="177" t="n">
        <x:f>COUNTIF('Data Mahasiswa'!G5:G34,D19)</x:f>
        <x:v>1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60dc85d3dbe94f34"/>
</x:worksheet>
</file>